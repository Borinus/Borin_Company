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ipação" sheetId="1" state="visible" r:id="rId1"/>
    <sheet xmlns:r="http://schemas.openxmlformats.org/officeDocument/2006/relationships" name="Cálculo" sheetId="2" state="visible" r:id="rId2"/>
    <sheet xmlns:r="http://schemas.openxmlformats.org/officeDocument/2006/relationships" name="Base de dissip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color rgb="00111111"/>
      <sz val="10"/>
    </font>
    <font>
      <name val="Consolas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1" pivotButton="0" quotePrefix="0" xfId="0"/>
    <xf numFmtId="0" fontId="5" fillId="0" borderId="0" pivotButton="0" quotePrefix="0" xfId="0"/>
    <xf numFmtId="0" fontId="7" fillId="0" borderId="3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4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0" customWidth="1" min="4" max="4"/>
    <col width="18" customWidth="1" min="5" max="5"/>
    <col width="8" customWidth="1" min="6" max="6"/>
    <col width="20" customWidth="1" min="7" max="7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Instalação</t>
        </is>
      </c>
      <c r="B5" s="6" t="inlineStr">
        <is>
          <t>Tag</t>
        </is>
      </c>
      <c r="C5" s="6" t="inlineStr">
        <is>
          <t>Código</t>
        </is>
      </c>
      <c r="D5" s="6" t="inlineStr">
        <is>
          <t>Descrição</t>
        </is>
      </c>
      <c r="E5" s="6" t="inlineStr">
        <is>
          <t>Dissipação unit. (W)</t>
        </is>
      </c>
      <c r="F5" s="6" t="inlineStr">
        <is>
          <t>Qtd</t>
        </is>
      </c>
      <c r="G5" s="6" t="inlineStr">
        <is>
          <t>Dissipação total (W)</t>
        </is>
      </c>
    </row>
    <row r="6">
      <c r="A6" s="7" t="inlineStr">
        <is>
          <t>Painel 1</t>
        </is>
      </c>
      <c r="B6" s="4" t="inlineStr"/>
      <c r="C6" s="4" t="inlineStr"/>
      <c r="D6" s="7" t="inlineStr"/>
      <c r="E6" s="4" t="inlineStr"/>
      <c r="F6" s="4" t="inlineStr"/>
      <c r="G6" s="4">
        <f>E6*F6</f>
        <v/>
      </c>
    </row>
    <row r="7">
      <c r="A7" s="7" t="inlineStr">
        <is>
          <t>Painel 1</t>
        </is>
      </c>
      <c r="B7" s="4" t="inlineStr"/>
      <c r="C7" s="4" t="inlineStr"/>
      <c r="D7" s="7" t="inlineStr"/>
      <c r="E7" s="4" t="inlineStr"/>
      <c r="F7" s="4" t="inlineStr"/>
      <c r="G7" s="4">
        <f>E7*F7</f>
        <v/>
      </c>
    </row>
    <row r="8">
      <c r="A8" s="7" t="inlineStr">
        <is>
          <t>Painel 1</t>
        </is>
      </c>
      <c r="B8" s="4" t="inlineStr"/>
      <c r="C8" s="4" t="inlineStr"/>
      <c r="D8" s="7" t="inlineStr"/>
      <c r="E8" s="4" t="inlineStr"/>
      <c r="F8" s="4" t="inlineStr"/>
      <c r="G8" s="4">
        <f>E8*F8</f>
        <v/>
      </c>
    </row>
    <row r="10">
      <c r="F10" s="8" t="inlineStr">
        <is>
          <t>TOTAL</t>
        </is>
      </c>
      <c r="G10" s="9">
        <f>SUM(G6:G500)</f>
        <v/>
      </c>
    </row>
    <row r="12">
      <c r="A12" s="10" t="inlineStr">
        <is>
          <t>O total daqui é o valor que vai no campo 'Potência Dissipada Calculada' da capa do projeto.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8" customWidth="1" min="4" max="4"/>
    <col width="16" customWidth="1" min="5" max="5"/>
  </cols>
  <sheetData>
    <row r="1">
      <c r="A1" s="11" t="inlineStr">
        <is>
          <t>Cálculo térmico do painel</t>
        </is>
      </c>
    </row>
    <row r="3">
      <c r="A3" s="12" t="inlineStr">
        <is>
          <t>Altura (mm)</t>
        </is>
      </c>
      <c r="B3" s="13" t="inlineStr"/>
      <c r="D3" s="12" t="inlineStr">
        <is>
          <t>Superfície efetiva (m²)</t>
        </is>
      </c>
      <c r="E3" s="14">
        <f>2*((B3*B4)+(B3*B5)+(B4*B5))/1000000</f>
        <v/>
      </c>
    </row>
    <row r="4">
      <c r="A4" s="12" t="inlineStr">
        <is>
          <t>Largura (mm)</t>
        </is>
      </c>
      <c r="B4" s="13" t="inlineStr"/>
      <c r="D4" s="12" t="inlineStr">
        <is>
          <t>ΔT admissível (°C)</t>
        </is>
      </c>
      <c r="E4" s="14">
        <f>B7-B8</f>
        <v/>
      </c>
    </row>
    <row r="5">
      <c r="A5" s="12" t="inlineStr">
        <is>
          <t>Profundidade (mm)</t>
        </is>
      </c>
      <c r="B5" s="13" t="inlineStr"/>
      <c r="D5" s="12" t="inlineStr">
        <is>
          <t>Coef. do material (W/m²·°C)</t>
        </is>
      </c>
      <c r="E5" s="14">
        <f>IF(B6="Aço",5.5,IF(B6="Inox",5.5,IF(B6="Alumínio",12,3.5)))</f>
        <v/>
      </c>
    </row>
    <row r="6">
      <c r="A6" s="12" t="inlineStr">
        <is>
          <t>Material da caixa</t>
        </is>
      </c>
      <c r="B6" s="13" t="inlineStr">
        <is>
          <t>Aço</t>
        </is>
      </c>
      <c r="D6" s="12" t="inlineStr">
        <is>
          <t>Potência dissipável natural (W)</t>
        </is>
      </c>
      <c r="E6" s="14">
        <f>E3*E4*E5</f>
        <v/>
      </c>
    </row>
    <row r="7">
      <c r="A7" s="12" t="inlineStr">
        <is>
          <t>Temperatura interna admissível (°C)</t>
        </is>
      </c>
      <c r="B7" s="13" t="n">
        <v>50</v>
      </c>
      <c r="D7" s="12" t="inlineStr">
        <is>
          <t>Excedente a remover (W)</t>
        </is>
      </c>
      <c r="E7" s="14">
        <f>MAX(0,B9-E6)</f>
        <v/>
      </c>
    </row>
    <row r="8">
      <c r="A8" s="12" t="inlineStr">
        <is>
          <t>Temperatura ambiente máxima (°C)</t>
        </is>
      </c>
      <c r="B8" s="13" t="n">
        <v>35</v>
      </c>
      <c r="D8" s="8" t="inlineStr">
        <is>
          <t>Solução</t>
        </is>
      </c>
      <c r="E8" s="14">
        <f>IF(E7=0,"Ventilação natural suficiente","Requer ventilação forçada ou climatização")</f>
        <v/>
      </c>
    </row>
    <row r="9">
      <c r="A9" s="12" t="inlineStr">
        <is>
          <t>Potência dissipada total (W)</t>
        </is>
      </c>
      <c r="B9" s="13">
        <f>Dissipação!G10</f>
        <v/>
      </c>
    </row>
    <row r="11">
      <c r="A11" s="10" t="inlineStr">
        <is>
          <t>Coeficientes de superfície conforme prática usual (IEC 60890). Conferir contra o catálogo do fabricante da caixa.</t>
        </is>
      </c>
    </row>
    <row r="12">
      <c r="A12" s="10" t="inlineStr">
        <is>
          <t>Preencher a dissipação total na célula B9 com o total da aba Dissipação.</t>
        </is>
      </c>
    </row>
  </sheetData>
  <dataValidations count="1">
    <dataValidation sqref="B6" showDropDown="0" showInputMessage="0" showErrorMessage="0" allowBlank="1" type="list">
      <formula1>"Aço,Inox,Alumínio,Plástico"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16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>
      <c r="A1" s="11" t="inlineStr">
        <is>
          <t>Base de dissipação por componente</t>
        </is>
      </c>
    </row>
    <row r="3">
      <c r="A3" s="6" t="inlineStr">
        <is>
          <t>Categoria</t>
        </is>
      </c>
      <c r="B3" s="6" t="inlineStr">
        <is>
          <t>Código</t>
        </is>
      </c>
      <c r="C3" s="6" t="inlineStr">
        <is>
          <t>Descrição</t>
        </is>
      </c>
      <c r="D3" s="6" t="inlineStr">
        <is>
          <t>Fabricante</t>
        </is>
      </c>
      <c r="E3" s="6" t="inlineStr">
        <is>
          <t>Dissip. bobina (W)</t>
        </is>
      </c>
      <c r="F3" s="6" t="inlineStr">
        <is>
          <t>Dissip. contatos (W)</t>
        </is>
      </c>
      <c r="G3" s="6" t="inlineStr">
        <is>
          <t>Total (W)</t>
        </is>
      </c>
      <c r="H3" s="6" t="inlineStr">
        <is>
          <t>Fonte do dado</t>
        </is>
      </c>
    </row>
    <row r="4">
      <c r="A4" s="7" t="inlineStr">
        <is>
          <t>Disjuntor</t>
        </is>
      </c>
      <c r="B4" s="4" t="inlineStr">
        <is>
          <t>MDWH</t>
        </is>
      </c>
      <c r="C4" s="7" t="inlineStr">
        <is>
          <t>Minidisjuntor In &lt; 10 A — por polo</t>
        </is>
      </c>
      <c r="D4" s="7" t="inlineStr">
        <is>
          <t>WEG</t>
        </is>
      </c>
      <c r="E4" s="4" t="inlineStr"/>
      <c r="F4" s="4" t="n">
        <v>3</v>
      </c>
      <c r="G4" s="4" t="n">
        <v>3</v>
      </c>
      <c r="H4" s="7" t="inlineStr">
        <is>
          <t>WEG MDW 50163906 p.17 (05/08/2026)</t>
        </is>
      </c>
    </row>
    <row r="5">
      <c r="A5" s="7" t="inlineStr">
        <is>
          <t>Disjuntor</t>
        </is>
      </c>
      <c r="B5" s="4" t="inlineStr">
        <is>
          <t>MDWH</t>
        </is>
      </c>
      <c r="C5" s="7" t="inlineStr">
        <is>
          <t>Minidisjuntor 10 a 16 A — por polo</t>
        </is>
      </c>
      <c r="D5" s="7" t="inlineStr">
        <is>
          <t>WEG</t>
        </is>
      </c>
      <c r="E5" s="4" t="inlineStr"/>
      <c r="F5" s="4" t="n">
        <v>3.5</v>
      </c>
      <c r="G5" s="4" t="n">
        <v>3.5</v>
      </c>
      <c r="H5" s="7" t="inlineStr">
        <is>
          <t>WEG MDW 50163906 p.17 (05/08/2026)</t>
        </is>
      </c>
    </row>
    <row r="6">
      <c r="A6" s="7" t="inlineStr">
        <is>
          <t>Disjuntor</t>
        </is>
      </c>
      <c r="B6" s="4" t="inlineStr">
        <is>
          <t>MDWH</t>
        </is>
      </c>
      <c r="C6" s="7" t="inlineStr">
        <is>
          <t>Minidisjuntor 16 a 25 A — por polo</t>
        </is>
      </c>
      <c r="D6" s="7" t="inlineStr">
        <is>
          <t>WEG</t>
        </is>
      </c>
      <c r="E6" s="4" t="inlineStr"/>
      <c r="F6" s="4" t="n">
        <v>4.5</v>
      </c>
      <c r="G6" s="4" t="n">
        <v>4.5</v>
      </c>
      <c r="H6" s="7" t="inlineStr">
        <is>
          <t>WEG MDW 50163906 p.17 (05/08/2026)</t>
        </is>
      </c>
    </row>
    <row r="7">
      <c r="A7" s="7" t="inlineStr">
        <is>
          <t>Disjuntor</t>
        </is>
      </c>
      <c r="B7" s="4" t="inlineStr">
        <is>
          <t>MDWH</t>
        </is>
      </c>
      <c r="C7" s="7" t="inlineStr">
        <is>
          <t>Minidisjuntor 25 a 32 A — por polo</t>
        </is>
      </c>
      <c r="D7" s="7" t="inlineStr">
        <is>
          <t>WEG</t>
        </is>
      </c>
      <c r="E7" s="4" t="inlineStr"/>
      <c r="F7" s="4" t="n">
        <v>6</v>
      </c>
      <c r="G7" s="4" t="n">
        <v>6</v>
      </c>
      <c r="H7" s="7" t="inlineStr">
        <is>
          <t>WEG MDW 50163906 p.17 (05/08/2026)</t>
        </is>
      </c>
    </row>
    <row r="8">
      <c r="A8" s="7" t="inlineStr">
        <is>
          <t>Disjuntor</t>
        </is>
      </c>
      <c r="B8" s="4" t="inlineStr">
        <is>
          <t>MDWH</t>
        </is>
      </c>
      <c r="C8" s="7" t="inlineStr">
        <is>
          <t>Minidisjuntor 32 a 40 A — por polo</t>
        </is>
      </c>
      <c r="D8" s="7" t="inlineStr">
        <is>
          <t>WEG</t>
        </is>
      </c>
      <c r="E8" s="4" t="inlineStr"/>
      <c r="F8" s="4" t="n">
        <v>7.5</v>
      </c>
      <c r="G8" s="4" t="n">
        <v>7.5</v>
      </c>
      <c r="H8" s="7" t="inlineStr">
        <is>
          <t>WEG MDW 50163906 p.17 (05/08/2026)</t>
        </is>
      </c>
    </row>
    <row r="9">
      <c r="A9" s="7" t="inlineStr">
        <is>
          <t>Disjuntor</t>
        </is>
      </c>
      <c r="B9" s="4" t="inlineStr">
        <is>
          <t>MDWH</t>
        </is>
      </c>
      <c r="C9" s="7" t="inlineStr">
        <is>
          <t>Minidisjuntor 40 a 50 A — por polo</t>
        </is>
      </c>
      <c r="D9" s="7" t="inlineStr">
        <is>
          <t>WEG</t>
        </is>
      </c>
      <c r="E9" s="4" t="inlineStr"/>
      <c r="F9" s="4" t="n">
        <v>9</v>
      </c>
      <c r="G9" s="4" t="n">
        <v>9</v>
      </c>
      <c r="H9" s="7" t="inlineStr">
        <is>
          <t>WEG MDW 50163906 p.17 (05/08/2026)</t>
        </is>
      </c>
    </row>
    <row r="10">
      <c r="A10" s="7" t="inlineStr">
        <is>
          <t>Disjuntor</t>
        </is>
      </c>
      <c r="B10" s="4" t="inlineStr">
        <is>
          <t>MDWH</t>
        </is>
      </c>
      <c r="C10" s="7" t="inlineStr">
        <is>
          <t>Minidisjuntor 50 a 63 A — por polo</t>
        </is>
      </c>
      <c r="D10" s="7" t="inlineStr">
        <is>
          <t>WEG</t>
        </is>
      </c>
      <c r="E10" s="4" t="inlineStr"/>
      <c r="F10" s="4" t="n">
        <v>13</v>
      </c>
      <c r="G10" s="4" t="n">
        <v>13</v>
      </c>
      <c r="H10" s="7" t="inlineStr">
        <is>
          <t>WEG MDW 50163906 p.17 (05/08/2026)</t>
        </is>
      </c>
    </row>
    <row r="11">
      <c r="A11" s="7" t="inlineStr">
        <is>
          <t>Disjuntor</t>
        </is>
      </c>
      <c r="B11" s="4" t="inlineStr">
        <is>
          <t>MDWH</t>
        </is>
      </c>
      <c r="C11" s="7" t="inlineStr">
        <is>
          <t>Minidisjuntor 63 a 100 A — por polo</t>
        </is>
      </c>
      <c r="D11" s="7" t="inlineStr">
        <is>
          <t>WEG</t>
        </is>
      </c>
      <c r="E11" s="4" t="inlineStr"/>
      <c r="F11" s="4" t="n">
        <v>15</v>
      </c>
      <c r="G11" s="4" t="n">
        <v>15</v>
      </c>
      <c r="H11" s="7" t="inlineStr">
        <is>
          <t>WEG MDW 50163906 p.17 (05/08/2026)</t>
        </is>
      </c>
    </row>
    <row r="12">
      <c r="A12" s="7" t="inlineStr">
        <is>
          <t>Disjuntor</t>
        </is>
      </c>
      <c r="B12" s="4" t="inlineStr">
        <is>
          <t>MDWH</t>
        </is>
      </c>
      <c r="C12" s="7" t="inlineStr">
        <is>
          <t>Minidisjuntor 100 a 125 A — por polo</t>
        </is>
      </c>
      <c r="D12" s="7" t="inlineStr">
        <is>
          <t>WEG</t>
        </is>
      </c>
      <c r="E12" s="4" t="inlineStr"/>
      <c r="F12" s="4" t="n">
        <v>20</v>
      </c>
      <c r="G12" s="4" t="n">
        <v>20</v>
      </c>
      <c r="H12" s="7" t="inlineStr">
        <is>
          <t>WEG MDW 50163906 p.17 (05/08/2026)</t>
        </is>
      </c>
    </row>
    <row r="13">
      <c r="A13" s="7" t="inlineStr">
        <is>
          <t>Contator</t>
        </is>
      </c>
      <c r="B13" s="4" t="inlineStr">
        <is>
          <t>CWB</t>
        </is>
      </c>
      <c r="C13" s="7" t="inlineStr">
        <is>
          <t>Bobina CC, contator até 38 A (máximo)</t>
        </is>
      </c>
      <c r="D13" s="7" t="inlineStr">
        <is>
          <t>WEG</t>
        </is>
      </c>
      <c r="E13" s="4" t="n">
        <v>5.8</v>
      </c>
      <c r="F13" s="4" t="inlineStr"/>
      <c r="G13" s="4" t="n">
        <v>5.8</v>
      </c>
      <c r="H13" s="7" t="inlineStr">
        <is>
          <t>WEG CWB 50042424 p.7 (05/08/2026)</t>
        </is>
      </c>
    </row>
    <row r="14">
      <c r="A14" s="7" t="inlineStr">
        <is>
          <t>Contator</t>
        </is>
      </c>
      <c r="B14" s="4" t="inlineStr">
        <is>
          <t>CWB</t>
        </is>
      </c>
      <c r="C14" s="7" t="inlineStr">
        <is>
          <t>Bobina CA, contator até 38 A — 7,5 VA</t>
        </is>
      </c>
      <c r="D14" s="7" t="inlineStr">
        <is>
          <t>WEG</t>
        </is>
      </c>
      <c r="E14" s="4" t="n">
        <v>7.5</v>
      </c>
      <c r="F14" s="4" t="inlineStr"/>
      <c r="G14" s="4" t="n">
        <v>7.5</v>
      </c>
      <c r="H14" s="7" t="inlineStr">
        <is>
          <t>WEG CWB 50042424 p.7 (05/08/2026)</t>
        </is>
      </c>
    </row>
    <row r="15">
      <c r="A15" s="7" t="inlineStr">
        <is>
          <t>Fonte 24 VCC</t>
        </is>
      </c>
      <c r="B15" s="4" t="inlineStr"/>
      <c r="C15" s="7" t="inlineStr">
        <is>
          <t>CALCULADO: Psaída x (1/rend - 1). Ex.: 240 W a 93% = 18 W</t>
        </is>
      </c>
      <c r="D15" s="7" t="inlineStr"/>
      <c r="E15" s="4" t="inlineStr"/>
      <c r="F15" s="4" t="inlineStr"/>
      <c r="G15" s="4" t="inlineStr"/>
      <c r="H15" s="7" t="inlineStr">
        <is>
          <t>rendimento do datasheet do modelo</t>
        </is>
      </c>
    </row>
    <row r="16">
      <c r="A16" s="7" t="inlineStr">
        <is>
          <t>Inversor</t>
        </is>
      </c>
      <c r="B16" s="4" t="inlineStr"/>
      <c r="C16" s="7" t="inlineStr">
        <is>
          <t>CALCULADO: Pmotor x (1 - rend). Ex.: 5,5 kW a 97% = 165 W</t>
        </is>
      </c>
      <c r="D16" s="7" t="inlineStr"/>
      <c r="E16" s="4" t="inlineStr"/>
      <c r="F16" s="4" t="inlineStr"/>
      <c r="G16" s="4" t="inlineStr"/>
      <c r="H16" s="7" t="inlineStr">
        <is>
          <t>rendimento do datasheet do modelo</t>
        </is>
      </c>
    </row>
    <row r="17">
      <c r="A17" s="7" t="inlineStr"/>
      <c r="B17" s="4" t="inlineStr"/>
      <c r="C17" s="7" t="inlineStr"/>
      <c r="D17" s="7" t="inlineStr"/>
      <c r="E17" s="4" t="inlineStr"/>
      <c r="F17" s="4" t="inlineStr"/>
      <c r="G17" s="4">
        <f>E17+F17</f>
        <v/>
      </c>
      <c r="H17" s="7" t="inlineStr"/>
    </row>
    <row r="19">
      <c r="A19" s="10" t="inlineStr">
        <is>
          <t>As linhas acima vieram do catálogo do fabricante, com documento e data na última coluna. Conferir na revisão do catálogo em uso.</t>
        </is>
      </c>
    </row>
    <row r="20">
      <c r="A20" s="10" t="inlineStr">
        <is>
          <t>Disjuntor: o valor é POR POLO — multiplicar pelo número de polos. E é o MÁXIMO da norma, não o típico medido: erra a favor do frio.</t>
        </is>
      </c>
    </row>
    <row r="21">
      <c r="A21" s="10" t="inlineStr">
        <is>
          <t>Fonte e inversor não têm valor de tabela: a dissipação sai do rendimento. Ver as duas últimas linhas.</t>
        </is>
      </c>
    </row>
    <row r="23">
      <c r="A23" s="10" t="inlineStr">
        <is>
          <t>Esta base cresce a cada projeto e é ativo próprio.</t>
        </is>
      </c>
    </row>
    <row r="24">
      <c r="A24" s="10" t="inlineStr">
        <is>
          <t>Nunca copiar base de dados de terceiros — o dado é público no datasheet, a compilação é sua.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2026-08-05T13:16:41Z</dcterms:created>
  <dcterms:modified xmlns:dcterms="http://purl.org/dc/terms/" xmlns:xsi="http://www.w3.org/2001/XMLSchema-instance" xsi:type="dcterms:W3CDTF">2026-08-05T13:16:41Z</dcterms:modified>
</cp:coreProperties>
</file>