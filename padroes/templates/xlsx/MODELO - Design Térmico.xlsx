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sipação" sheetId="1" state="visible" r:id="rId1"/>
    <sheet xmlns:r="http://schemas.openxmlformats.org/officeDocument/2006/relationships" name="Cálculo" sheetId="2" state="visible" r:id="rId2"/>
    <sheet xmlns:r="http://schemas.openxmlformats.org/officeDocument/2006/relationships" name="Base de dissipaçã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Inter"/>
      <b val="1"/>
      <color rgb="00111111"/>
      <sz val="16"/>
    </font>
    <font>
      <name val="Inter"/>
      <color rgb="006B6B6B"/>
      <sz val="8"/>
    </font>
    <font>
      <name val="Consolas"/>
      <color rgb="006B6B6B"/>
      <sz val="7"/>
    </font>
    <font>
      <name val="Consolas"/>
      <color rgb="00111111"/>
      <sz val="10"/>
    </font>
    <font>
      <name val="Inter"/>
      <b val="1"/>
      <color rgb="00111111"/>
      <sz val="10"/>
    </font>
    <font>
      <name val="Inter"/>
      <color rgb="00111111"/>
      <sz val="10"/>
    </font>
    <font>
      <name val="Consolas"/>
      <b val="1"/>
      <color rgb="00111111"/>
      <sz val="10"/>
    </font>
    <font>
      <name val="Inter"/>
      <i val="1"/>
      <color rgb="006B6B6B"/>
      <sz val="9"/>
    </font>
    <font>
      <name val="Inter"/>
      <b val="1"/>
      <color rgb="00111111"/>
      <sz val="11"/>
    </font>
  </fonts>
  <fills count="3">
    <fill>
      <patternFill/>
    </fill>
    <fill>
      <patternFill patternType="gray125"/>
    </fill>
    <fill>
      <patternFill patternType="solid">
        <fgColor rgb="00F4F4F4"/>
      </patternFill>
    </fill>
  </fills>
  <borders count="4">
    <border>
      <left/>
      <right/>
      <top/>
      <bottom/>
      <diagonal/>
    </border>
    <border>
      <bottom style="thin">
        <color rgb="00DCDCDC"/>
      </bottom>
    </border>
    <border>
      <top style="thin">
        <color rgb="00DCDCDC"/>
      </top>
    </border>
    <border>
      <bottom style="medium">
        <color rgb="001111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0" fontId="0" fillId="0" borderId="2" pivotButton="0" quotePrefix="0" xfId="0"/>
    <xf numFmtId="0" fontId="5" fillId="0" borderId="3" applyAlignment="1" pivotButton="0" quotePrefix="0" xfId="0">
      <alignment vertical="bottom" wrapText="1"/>
    </xf>
    <xf numFmtId="0" fontId="6" fillId="0" borderId="1" pivotButton="0" quotePrefix="0" xfId="0"/>
    <xf numFmtId="0" fontId="5" fillId="0" borderId="0" pivotButton="0" quotePrefix="0" xfId="0"/>
    <xf numFmtId="0" fontId="7" fillId="0" borderId="3" pivotButton="0" quotePrefix="0" xfId="0"/>
    <xf numFmtId="0" fontId="8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4" fillId="2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40" customWidth="1" min="4" max="4"/>
    <col width="18" customWidth="1" min="5" max="5"/>
    <col width="8" customWidth="1" min="6" max="6"/>
    <col width="20" customWidth="1" min="7" max="7"/>
  </cols>
  <sheetData>
    <row r="1">
      <c r="A1" s="1" t="inlineStr">
        <is>
          <t>BORIN</t>
        </is>
      </c>
      <c r="C1" s="2" t="inlineStr">
        <is>
          <t>PROJETO</t>
        </is>
      </c>
      <c r="D1" s="2" t="inlineStr">
        <is>
          <t>CLIENTE</t>
        </is>
      </c>
      <c r="E1" s="2" t="inlineStr">
        <is>
          <t>CÓDIGO</t>
        </is>
      </c>
      <c r="F1" s="2" t="inlineStr">
        <is>
          <t>REV</t>
        </is>
      </c>
      <c r="G1" s="2" t="inlineStr">
        <is>
          <t>DATA</t>
        </is>
      </c>
    </row>
    <row r="2">
      <c r="A2" s="3" t="inlineStr">
        <is>
          <t>projetos elétricos industriais</t>
        </is>
      </c>
      <c r="C2" s="4" t="inlineStr"/>
      <c r="D2" s="4" t="inlineStr"/>
      <c r="E2" s="4" t="inlineStr"/>
      <c r="F2" s="4" t="inlineStr"/>
      <c r="G2" s="4" t="inlineStr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</row>
    <row r="5">
      <c r="A5" s="6" t="inlineStr">
        <is>
          <t>Instalação</t>
        </is>
      </c>
      <c r="B5" s="6" t="inlineStr">
        <is>
          <t>Tag</t>
        </is>
      </c>
      <c r="C5" s="6" t="inlineStr">
        <is>
          <t>Código</t>
        </is>
      </c>
      <c r="D5" s="6" t="inlineStr">
        <is>
          <t>Descrição</t>
        </is>
      </c>
      <c r="E5" s="6" t="inlineStr">
        <is>
          <t>Dissipação unit. (W)</t>
        </is>
      </c>
      <c r="F5" s="6" t="inlineStr">
        <is>
          <t>Qtd</t>
        </is>
      </c>
      <c r="G5" s="6" t="inlineStr">
        <is>
          <t>Dissipação total (W)</t>
        </is>
      </c>
    </row>
    <row r="6">
      <c r="A6" s="7" t="inlineStr">
        <is>
          <t>Painel 1</t>
        </is>
      </c>
      <c r="B6" s="4" t="inlineStr"/>
      <c r="C6" s="4" t="inlineStr"/>
      <c r="D6" s="7" t="inlineStr"/>
      <c r="E6" s="4" t="inlineStr"/>
      <c r="F6" s="4" t="inlineStr"/>
      <c r="G6" s="4">
        <f>E6*F6</f>
        <v/>
      </c>
    </row>
    <row r="7">
      <c r="A7" s="7" t="inlineStr">
        <is>
          <t>Painel 1</t>
        </is>
      </c>
      <c r="B7" s="4" t="inlineStr"/>
      <c r="C7" s="4" t="inlineStr"/>
      <c r="D7" s="7" t="inlineStr"/>
      <c r="E7" s="4" t="inlineStr"/>
      <c r="F7" s="4" t="inlineStr"/>
      <c r="G7" s="4">
        <f>E7*F7</f>
        <v/>
      </c>
    </row>
    <row r="8">
      <c r="A8" s="7" t="inlineStr">
        <is>
          <t>Painel 1</t>
        </is>
      </c>
      <c r="B8" s="4" t="inlineStr"/>
      <c r="C8" s="4" t="inlineStr"/>
      <c r="D8" s="7" t="inlineStr"/>
      <c r="E8" s="4" t="inlineStr"/>
      <c r="F8" s="4" t="inlineStr"/>
      <c r="G8" s="4">
        <f>E8*F8</f>
        <v/>
      </c>
    </row>
    <row r="10">
      <c r="F10" s="8" t="inlineStr">
        <is>
          <t>TOTAL</t>
        </is>
      </c>
      <c r="G10" s="9">
        <f>SUM(G6:G500)</f>
        <v/>
      </c>
    </row>
    <row r="12">
      <c r="A12" s="10" t="inlineStr">
        <is>
          <t>O total daqui é o valor que vai no campo 'Potência Dissipada Calculada' da capa do projeto.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38" customWidth="1" min="4" max="4"/>
    <col width="16" customWidth="1" min="5" max="5"/>
  </cols>
  <sheetData>
    <row r="1">
      <c r="A1" s="11" t="inlineStr">
        <is>
          <t>Cálculo térmico do painel</t>
        </is>
      </c>
    </row>
    <row r="3">
      <c r="A3" s="12" t="inlineStr">
        <is>
          <t>Altura (mm)</t>
        </is>
      </c>
      <c r="B3" s="13" t="inlineStr"/>
      <c r="D3" s="12" t="inlineStr">
        <is>
          <t>Superfície efetiva (m²)</t>
        </is>
      </c>
      <c r="E3" s="14">
        <f>2*((B3*B4)+(B3*B5)+(B4*B5))/1000000</f>
        <v/>
      </c>
    </row>
    <row r="4">
      <c r="A4" s="12" t="inlineStr">
        <is>
          <t>Largura (mm)</t>
        </is>
      </c>
      <c r="B4" s="13" t="inlineStr"/>
      <c r="D4" s="12" t="inlineStr">
        <is>
          <t>ΔT admissível (°C)</t>
        </is>
      </c>
      <c r="E4" s="14">
        <f>B7-B8</f>
        <v/>
      </c>
    </row>
    <row r="5">
      <c r="A5" s="12" t="inlineStr">
        <is>
          <t>Profundidade (mm)</t>
        </is>
      </c>
      <c r="B5" s="13" t="inlineStr"/>
      <c r="D5" s="12" t="inlineStr">
        <is>
          <t>Coef. do material (W/m²·°C)</t>
        </is>
      </c>
      <c r="E5" s="14">
        <f>IF(B6="Aço",5.5,IF(B6="Inox",5.5,IF(B6="Alumínio",12,3.5)))</f>
        <v/>
      </c>
    </row>
    <row r="6">
      <c r="A6" s="12" t="inlineStr">
        <is>
          <t>Material da caixa</t>
        </is>
      </c>
      <c r="B6" s="13" t="inlineStr">
        <is>
          <t>Aço</t>
        </is>
      </c>
      <c r="D6" s="12" t="inlineStr">
        <is>
          <t>Potência dissipável natural (W)</t>
        </is>
      </c>
      <c r="E6" s="14">
        <f>E3*E4*E5</f>
        <v/>
      </c>
    </row>
    <row r="7">
      <c r="A7" s="12" t="inlineStr">
        <is>
          <t>Temperatura interna admissível (°C)</t>
        </is>
      </c>
      <c r="B7" s="13" t="n">
        <v>50</v>
      </c>
      <c r="D7" s="12" t="inlineStr">
        <is>
          <t>Excedente a remover (W)</t>
        </is>
      </c>
      <c r="E7" s="14">
        <f>MAX(0,B9-E6)</f>
        <v/>
      </c>
    </row>
    <row r="8">
      <c r="A8" s="12" t="inlineStr">
        <is>
          <t>Temperatura ambiente máxima (°C)</t>
        </is>
      </c>
      <c r="B8" s="13" t="n">
        <v>35</v>
      </c>
      <c r="D8" s="8" t="inlineStr">
        <is>
          <t>Solução</t>
        </is>
      </c>
      <c r="E8" s="14">
        <f>IF(E7=0,"Ventilação natural suficiente","Requer ventilação forçada ou climatização")</f>
        <v/>
      </c>
    </row>
    <row r="9">
      <c r="A9" s="12" t="inlineStr">
        <is>
          <t>Potência dissipada total (W)</t>
        </is>
      </c>
      <c r="B9" s="13">
        <f>Dissipação!G10</f>
        <v/>
      </c>
    </row>
    <row r="11">
      <c r="A11" s="10" t="inlineStr">
        <is>
          <t>Coeficientes de superfície conforme prática usual (IEC 60890). Conferir contra o catálogo do fabricante da caixa.</t>
        </is>
      </c>
    </row>
    <row r="12">
      <c r="A12" s="10" t="inlineStr">
        <is>
          <t>Preencher a dissipação total na célula B9 com o total da aba Dissipação.</t>
        </is>
      </c>
    </row>
  </sheetData>
  <dataValidations count="1">
    <dataValidation sqref="B6" showDropDown="0" showInputMessage="0" showErrorMessage="0" allowBlank="1" type="list">
      <formula1>"Aço,Inox,Alumínio,Plástico"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8" customWidth="1" min="3" max="3"/>
    <col width="16" customWidth="1" min="4" max="4"/>
    <col width="18" customWidth="1" min="5" max="5"/>
    <col width="18" customWidth="1" min="6" max="6"/>
    <col width="14" customWidth="1" min="7" max="7"/>
    <col width="26" customWidth="1" min="8" max="8"/>
  </cols>
  <sheetData>
    <row r="1">
      <c r="A1" s="11" t="inlineStr">
        <is>
          <t>Base de dissipação por componente</t>
        </is>
      </c>
    </row>
    <row r="3">
      <c r="A3" s="6" t="inlineStr">
        <is>
          <t>Categoria</t>
        </is>
      </c>
      <c r="B3" s="6" t="inlineStr">
        <is>
          <t>Código</t>
        </is>
      </c>
      <c r="C3" s="6" t="inlineStr">
        <is>
          <t>Descrição</t>
        </is>
      </c>
      <c r="D3" s="6" t="inlineStr">
        <is>
          <t>Fabricante</t>
        </is>
      </c>
      <c r="E3" s="6" t="inlineStr">
        <is>
          <t>Dissip. bobina (W)</t>
        </is>
      </c>
      <c r="F3" s="6" t="inlineStr">
        <is>
          <t>Dissip. contatos (W)</t>
        </is>
      </c>
      <c r="G3" s="6" t="inlineStr">
        <is>
          <t>Total (W)</t>
        </is>
      </c>
      <c r="H3" s="6" t="inlineStr">
        <is>
          <t>Fonte do dado</t>
        </is>
      </c>
    </row>
    <row r="4">
      <c r="A4" s="7" t="inlineStr"/>
      <c r="B4" s="4" t="inlineStr"/>
      <c r="C4" s="7" t="inlineStr"/>
      <c r="D4" s="7" t="inlineStr"/>
      <c r="E4" s="4" t="inlineStr"/>
      <c r="F4" s="4" t="inlineStr"/>
      <c r="G4" s="4">
        <f>E4+F4</f>
        <v/>
      </c>
      <c r="H4" s="7" t="inlineStr"/>
    </row>
    <row r="6">
      <c r="A6" s="10" t="inlineStr">
        <is>
          <t>Preencher a partir do catálogo de cada fabricante. Esta base cresce a cada projeto e é ativo próprio.</t>
        </is>
      </c>
    </row>
    <row r="7">
      <c r="A7" s="10" t="inlineStr">
        <is>
          <t>Nunca copiar base de dados de terceiros — o dado é público no datasheet, a compilação é sua.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2026-07-27T13:05:45Z</dcterms:created>
  <dcterms:modified xmlns:dcterms="http://purl.org/dc/terms/" xmlns:xsi="http://www.w3.org/2001/XMLSchema-instance" xsi:type="dcterms:W3CDTF">2026-07-27T13:05:45Z</dcterms:modified>
</cp:coreProperties>
</file>