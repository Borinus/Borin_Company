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tura de CLP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14" customWidth="1" min="5" max="5"/>
    <col width="14" customWidth="1" min="6" max="6"/>
    <col width="40" customWidth="1" min="7" max="7"/>
    <col width="26" customWidth="1" min="8" max="8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Instalação</t>
        </is>
      </c>
      <c r="B5" s="6" t="inlineStr">
        <is>
          <t>Tag</t>
        </is>
      </c>
      <c r="C5" s="6" t="inlineStr">
        <is>
          <t>Módulo</t>
        </is>
      </c>
      <c r="D5" s="6" t="inlineStr">
        <is>
          <t>Canal</t>
        </is>
      </c>
      <c r="E5" s="6" t="inlineStr">
        <is>
          <t>Endereço</t>
        </is>
      </c>
      <c r="F5" s="6" t="inlineStr">
        <is>
          <t>Tipo</t>
        </is>
      </c>
      <c r="G5" s="6" t="inlineStr">
        <is>
          <t>Função</t>
        </is>
      </c>
      <c r="H5" s="6" t="inlineStr">
        <is>
          <t>Observação</t>
        </is>
      </c>
    </row>
    <row r="6">
      <c r="A6" s="7" t="inlineStr">
        <is>
          <t>Painel 1</t>
        </is>
      </c>
      <c r="B6" s="4" t="inlineStr">
        <is>
          <t>A1</t>
        </is>
      </c>
      <c r="C6" s="7" t="inlineStr">
        <is>
          <t>CPU</t>
        </is>
      </c>
      <c r="D6" s="4" t="inlineStr"/>
      <c r="E6" s="4" t="inlineStr"/>
      <c r="F6" s="4" t="inlineStr"/>
      <c r="G6" s="7" t="inlineStr"/>
      <c r="H6" s="7" t="inlineStr"/>
    </row>
    <row r="7">
      <c r="A7" s="7" t="inlineStr">
        <is>
          <t>Painel 1</t>
        </is>
      </c>
      <c r="B7" s="4" t="inlineStr">
        <is>
          <t>A2</t>
        </is>
      </c>
      <c r="C7" s="7" t="inlineStr"/>
      <c r="D7" s="4" t="inlineStr">
        <is>
          <t>1</t>
        </is>
      </c>
      <c r="E7" s="4" t="inlineStr"/>
      <c r="F7" s="4" t="inlineStr">
        <is>
          <t>ED</t>
        </is>
      </c>
      <c r="G7" s="7" t="inlineStr"/>
      <c r="H7" s="7" t="inlineStr"/>
    </row>
    <row r="8">
      <c r="A8" s="7" t="inlineStr">
        <is>
          <t>Painel 1</t>
        </is>
      </c>
      <c r="B8" s="4" t="inlineStr">
        <is>
          <t>A2</t>
        </is>
      </c>
      <c r="C8" s="7" t="inlineStr"/>
      <c r="D8" s="4" t="inlineStr">
        <is>
          <t>2</t>
        </is>
      </c>
      <c r="E8" s="4" t="inlineStr"/>
      <c r="F8" s="4" t="inlineStr">
        <is>
          <t>ED</t>
        </is>
      </c>
      <c r="G8" s="7" t="inlineStr"/>
      <c r="H8" s="7" t="inlineStr"/>
    </row>
    <row r="9">
      <c r="A9" s="7" t="inlineStr">
        <is>
          <t>Painel 1</t>
        </is>
      </c>
      <c r="B9" s="4" t="inlineStr">
        <is>
          <t>A3</t>
        </is>
      </c>
      <c r="C9" s="7" t="inlineStr"/>
      <c r="D9" s="4" t="inlineStr">
        <is>
          <t>1</t>
        </is>
      </c>
      <c r="E9" s="4" t="inlineStr"/>
      <c r="F9" s="4" t="inlineStr">
        <is>
          <t>SD</t>
        </is>
      </c>
      <c r="G9" s="7" t="inlineStr"/>
      <c r="H9" s="7" t="inlineStr"/>
    </row>
    <row r="10">
      <c r="A10" s="7" t="inlineStr">
        <is>
          <t>Painel 1</t>
        </is>
      </c>
      <c r="B10" s="4" t="inlineStr">
        <is>
          <t>A4</t>
        </is>
      </c>
      <c r="C10" s="7" t="inlineStr"/>
      <c r="D10" s="4" t="inlineStr">
        <is>
          <t>1</t>
        </is>
      </c>
      <c r="E10" s="4" t="inlineStr"/>
      <c r="F10" s="4" t="inlineStr">
        <is>
          <t>EA</t>
        </is>
      </c>
      <c r="G10" s="7" t="inlineStr"/>
      <c r="H10" s="7" t="inlineStr"/>
    </row>
    <row r="12">
      <c r="A12" s="8" t="inlineStr">
        <is>
          <t>Todo endereço que aparece no diagrama tem que existir aqui, e sem duplicar.</t>
        </is>
      </c>
    </row>
    <row r="13">
      <c r="A13" s="8" t="inlineStr">
        <is>
          <t>Declarar a reserva de I/O como linha, com tipo RESERVA — reserva não declarada é reserva que some.</t>
        </is>
      </c>
    </row>
  </sheetData>
  <dataValidations count="1">
    <dataValidation sqref="F6:F500" showDropDown="0" showInputMessage="0" showErrorMessage="0" allowBlank="1" prompt="ED entrada digital · SD saída digital · EA entrada analógica · SA saída analógica" type="list">
      <formula1>"ED,SD,EA,SA,COM,RESERVA"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Resumo de pontos</t>
        </is>
      </c>
    </row>
    <row r="3">
      <c r="A3" s="6" t="inlineStr">
        <is>
          <t>Tipo</t>
        </is>
      </c>
      <c r="B3" s="6" t="inlineStr">
        <is>
          <t>Usados</t>
        </is>
      </c>
      <c r="C3" s="6" t="inlineStr">
        <is>
          <t>Reserva</t>
        </is>
      </c>
      <c r="D3" s="6" t="inlineStr">
        <is>
          <t>Total</t>
        </is>
      </c>
    </row>
    <row r="4">
      <c r="A4" s="7" t="inlineStr">
        <is>
          <t>Entradas digitais</t>
        </is>
      </c>
      <c r="B4" s="4">
        <f>COUNTIFS('Arquitetura de CLP'!F:F,"ED")</f>
        <v/>
      </c>
      <c r="C4" s="4" t="inlineStr"/>
      <c r="D4" s="4" t="inlineStr"/>
    </row>
    <row r="5">
      <c r="A5" s="7" t="inlineStr">
        <is>
          <t>Saídas digitais</t>
        </is>
      </c>
      <c r="B5" s="4">
        <f>COUNTIFS('Arquitetura de CLP'!F:F,"SD")</f>
        <v/>
      </c>
      <c r="C5" s="4" t="inlineStr"/>
      <c r="D5" s="4" t="inlineStr"/>
    </row>
    <row r="6">
      <c r="A6" s="7" t="inlineStr">
        <is>
          <t>Entradas analógicas</t>
        </is>
      </c>
      <c r="B6" s="4">
        <f>COUNTIFS('Arquitetura de CLP'!F:F,"EA")</f>
        <v/>
      </c>
      <c r="C6" s="4" t="inlineStr"/>
      <c r="D6" s="4" t="inlineStr"/>
    </row>
    <row r="7">
      <c r="A7" s="7" t="inlineStr">
        <is>
          <t>Saídas analógicas</t>
        </is>
      </c>
      <c r="B7" s="4">
        <f>COUNTIFS('Arquitetura de CLP'!F:F,"SA")</f>
        <v/>
      </c>
      <c r="C7" s="4" t="inlineStr"/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