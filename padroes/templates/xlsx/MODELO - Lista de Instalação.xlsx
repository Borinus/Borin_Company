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cabos" sheetId="1" state="visible" r:id="rId1"/>
    <sheet xmlns:r="http://schemas.openxmlformats.org/officeDocument/2006/relationships" name="Acompanhamento" sheetId="2" state="visible" r:id="rId2"/>
    <sheet xmlns:r="http://schemas.openxmlformats.org/officeDocument/2006/relationships" name="Material de instalação" sheetId="3" state="visible" r:id="rId3"/>
    <sheet xmlns:r="http://schemas.openxmlformats.org/officeDocument/2006/relationships" name="Acessórios por ocorrência" sheetId="4" state="visible" r:id="rId4"/>
    <sheet xmlns:r="http://schemas.openxmlformats.org/officeDocument/2006/relationships" name="Acessórios por comprimento" sheetId="5" state="visible" r:id="rId5"/>
    <sheet xmlns:r="http://schemas.openxmlformats.org/officeDocument/2006/relationships" name="Acessórios por item" sheetId="6" state="visible" r:id="rId6"/>
    <sheet xmlns:r="http://schemas.openxmlformats.org/officeDocument/2006/relationships" name="Acessórios fixos" sheetId="7" state="visible" r:id="rId7"/>
    <sheet xmlns:r="http://schemas.openxmlformats.org/officeDocument/2006/relationships" name="Fornece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color rgb="00111111"/>
      <sz val="10"/>
    </font>
    <font>
      <name val="Inter"/>
      <i val="1"/>
      <color rgb="006B6B6B"/>
      <sz val="9"/>
    </font>
    <font>
      <name val="Consolas"/>
      <b val="1"/>
      <color rgb="00111111"/>
      <sz val="10"/>
    </font>
    <font>
      <name val="Inter"/>
      <b val="1"/>
      <color rgb="0011111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3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8" customWidth="1" min="4" max="4"/>
    <col width="8" customWidth="1" min="5" max="5"/>
    <col width="12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5">
      <c r="A5" s="6" t="inlineStr">
        <is>
          <t>Tag</t>
        </is>
      </c>
      <c r="B5" s="6" t="inlineStr">
        <is>
          <t>Descrição do cabo</t>
        </is>
      </c>
      <c r="C5" s="6" t="inlineStr">
        <is>
          <t>Código</t>
        </is>
      </c>
      <c r="D5" s="6" t="inlineStr">
        <is>
          <t>Especificação</t>
        </is>
      </c>
      <c r="E5" s="6" t="inlineStr">
        <is>
          <t>Vias</t>
        </is>
      </c>
      <c r="F5" s="6" t="inlineStr">
        <is>
          <t>Bitola (mm²)</t>
        </is>
      </c>
      <c r="G5" s="6" t="inlineStr">
        <is>
          <t>Compr. (m)</t>
        </is>
      </c>
      <c r="H5" s="6" t="inlineStr">
        <is>
          <t>Origem</t>
        </is>
      </c>
      <c r="I5" s="6" t="inlineStr">
        <is>
          <t>Destino</t>
        </is>
      </c>
    </row>
    <row r="6">
      <c r="A6" s="4" t="inlineStr">
        <is>
          <t>W0</t>
        </is>
      </c>
      <c r="B6" s="7" t="inlineStr"/>
      <c r="C6" s="4" t="inlineStr"/>
      <c r="D6" s="7" t="inlineStr"/>
      <c r="E6" s="4" t="inlineStr"/>
      <c r="F6" s="4" t="inlineStr"/>
      <c r="G6" s="4" t="inlineStr"/>
      <c r="H6" s="7" t="inlineStr"/>
      <c r="I6" s="7" t="inlineStr"/>
    </row>
    <row r="7">
      <c r="A7" s="4" t="inlineStr">
        <is>
          <t>W1</t>
        </is>
      </c>
      <c r="B7" s="7" t="inlineStr"/>
      <c r="C7" s="4" t="inlineStr"/>
      <c r="D7" s="7" t="inlineStr"/>
      <c r="E7" s="4" t="inlineStr"/>
      <c r="F7" s="4" t="inlineStr"/>
      <c r="G7" s="4" t="inlineStr"/>
      <c r="H7" s="7" t="inlineStr"/>
      <c r="I7" s="7" t="inlineStr"/>
    </row>
    <row r="9">
      <c r="A9" s="8" t="inlineStr">
        <is>
          <t>É a fonte do diagrama de interconexão e da lista de material de campo.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2" customWidth="1" min="4" max="4"/>
    <col width="32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5">
      <c r="A5" s="6" t="inlineStr">
        <is>
          <t>Tarefa</t>
        </is>
      </c>
      <c r="B5" s="6" t="inlineStr">
        <is>
          <t>Instalação</t>
        </is>
      </c>
      <c r="C5" s="6" t="inlineStr">
        <is>
          <t>Tag</t>
        </is>
      </c>
      <c r="D5" s="6" t="inlineStr">
        <is>
          <t>Tag do cabo</t>
        </is>
      </c>
      <c r="E5" s="6" t="inlineStr">
        <is>
          <t>Material</t>
        </is>
      </c>
      <c r="F5" s="6" t="inlineStr">
        <is>
          <t>Código</t>
        </is>
      </c>
      <c r="G5" s="6" t="inlineStr">
        <is>
          <t>Compr. (m)</t>
        </is>
      </c>
      <c r="H5" s="6" t="inlineStr">
        <is>
          <t>Horas estimadas</t>
        </is>
      </c>
      <c r="I5" s="6" t="inlineStr">
        <is>
          <t>% conclusão</t>
        </is>
      </c>
      <c r="J5" s="6" t="inlineStr">
        <is>
          <t>Horas concluídas</t>
        </is>
      </c>
    </row>
    <row r="6">
      <c r="A6" s="7" t="inlineStr">
        <is>
          <t>Fixação do painel</t>
        </is>
      </c>
      <c r="B6" s="7" t="inlineStr"/>
      <c r="C6" s="4" t="inlineStr"/>
      <c r="D6" s="4" t="inlineStr"/>
      <c r="E6" s="7" t="inlineStr"/>
      <c r="F6" s="4" t="inlineStr">
        <is>
          <t>-</t>
        </is>
      </c>
      <c r="G6" s="4" t="inlineStr">
        <is>
          <t>-</t>
        </is>
      </c>
      <c r="H6" s="4" t="inlineStr"/>
      <c r="I6" s="4" t="inlineStr"/>
      <c r="J6" s="4">
        <f>H6*I6</f>
        <v/>
      </c>
    </row>
    <row r="7">
      <c r="A7" s="7" t="inlineStr">
        <is>
          <t>Fixação das eletrocalhas</t>
        </is>
      </c>
      <c r="B7" s="7" t="inlineStr"/>
      <c r="C7" s="4" t="inlineStr"/>
      <c r="D7" s="4" t="inlineStr"/>
      <c r="E7" s="7" t="inlineStr"/>
      <c r="F7" s="4" t="inlineStr">
        <is>
          <t>-</t>
        </is>
      </c>
      <c r="G7" s="4" t="inlineStr">
        <is>
          <t>-</t>
        </is>
      </c>
      <c r="H7" s="4" t="inlineStr"/>
      <c r="I7" s="4" t="inlineStr"/>
      <c r="J7" s="4">
        <f>H7*I7</f>
        <v/>
      </c>
    </row>
    <row r="8">
      <c r="A8" s="7" t="inlineStr"/>
      <c r="B8" s="7" t="inlineStr"/>
      <c r="C8" s="4" t="inlineStr"/>
      <c r="D8" s="4" t="inlineStr"/>
      <c r="E8" s="7" t="inlineStr"/>
      <c r="F8" s="4" t="inlineStr"/>
      <c r="G8" s="4" t="inlineStr"/>
      <c r="H8" s="4" t="inlineStr"/>
      <c r="I8" s="4" t="inlineStr"/>
      <c r="J8" s="4">
        <f>H8*I8</f>
        <v/>
      </c>
    </row>
    <row r="10">
      <c r="G10" s="9" t="inlineStr">
        <is>
          <t>TOTAL</t>
        </is>
      </c>
      <c r="H10" s="10">
        <f>SUM(H6:H500)</f>
        <v/>
      </c>
      <c r="J10" s="10">
        <f>SUM(J6:J500)</f>
        <v/>
      </c>
    </row>
    <row r="12">
      <c r="A12" s="8" t="inlineStr">
        <is>
          <t>As horas estimadas transformam a entrega de lista de material em plano de instalação — é o que nenhum concorrente entrega.</t>
        </is>
      </c>
    </row>
  </sheetData>
  <dataValidations count="1">
    <dataValidation sqref="I6:I500" showDropDown="0" showInputMessage="0" showErrorMessage="0" allowBlank="1" prompt="Percentual de 0 a 1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Código</t>
        </is>
      </c>
      <c r="B5" s="6" t="inlineStr">
        <is>
          <t>Descrição</t>
        </is>
      </c>
      <c r="C5" s="6" t="inlineStr">
        <is>
          <t>Unidade</t>
        </is>
      </c>
      <c r="D5" s="6" t="inlineStr">
        <is>
          <t>Qtd calculada</t>
        </is>
      </c>
      <c r="E5" s="6" t="inlineStr">
        <is>
          <t>Arredondamento</t>
        </is>
      </c>
      <c r="F5" s="6" t="inlineStr">
        <is>
          <t>Qtd a comprar</t>
        </is>
      </c>
    </row>
    <row r="6">
      <c r="A6" s="4" t="inlineStr"/>
      <c r="B6" s="7" t="inlineStr"/>
      <c r="C6" s="4" t="inlineStr"/>
      <c r="D6" s="4" t="inlineStr"/>
      <c r="E6" s="4" t="inlineStr"/>
      <c r="F6" s="4">
        <f>IF(E6="",D6,CEILING(D6,E6))</f>
        <v/>
      </c>
    </row>
    <row r="8">
      <c r="A8" s="8" t="inlineStr">
        <is>
          <t>Terminal se compra de 100 em 100, luva de 10 em 10 — a coluna de arredondamento evita comprar quantidade que não existe.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A1" s="11" t="inlineStr">
        <is>
          <t>Acessórios por ocorrência</t>
        </is>
      </c>
    </row>
    <row r="3">
      <c r="A3" s="6" t="inlineStr">
        <is>
          <t>Código principal</t>
        </is>
      </c>
      <c r="B3" s="6" t="inlineStr">
        <is>
          <t>Descrição</t>
        </is>
      </c>
      <c r="C3" s="6" t="inlineStr">
        <is>
          <t>Acessório 1</t>
        </is>
      </c>
      <c r="D3" s="6" t="inlineStr">
        <is>
          <t>Multiplicador 1</t>
        </is>
      </c>
      <c r="E3" s="6" t="inlineStr">
        <is>
          <t>Acessório 2</t>
        </is>
      </c>
      <c r="F3" s="6" t="inlineStr">
        <is>
          <t>Multiplicador 2</t>
        </is>
      </c>
      <c r="G3" s="6" t="inlineStr">
        <is>
          <t>Acessório 3</t>
        </is>
      </c>
      <c r="H3" s="6" t="inlineStr">
        <is>
          <t>Multiplicador 3</t>
        </is>
      </c>
      <c r="I3" s="6" t="inlineStr">
        <is>
          <t>Acessório 4</t>
        </is>
      </c>
      <c r="J3" s="6" t="inlineStr">
        <is>
          <t>Multiplicador 4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6">
      <c r="A6" s="8" t="inlineStr">
        <is>
          <t>Entra uma vez por ocorrência do item principal — identificação, luva, prensa-cabo.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A1" s="11" t="inlineStr">
        <is>
          <t>Acessórios por comprimento</t>
        </is>
      </c>
    </row>
    <row r="3">
      <c r="A3" s="6" t="inlineStr">
        <is>
          <t>Código principal</t>
        </is>
      </c>
      <c r="B3" s="6" t="inlineStr">
        <is>
          <t>Descrição</t>
        </is>
      </c>
      <c r="C3" s="6" t="inlineStr">
        <is>
          <t>Acessório 1</t>
        </is>
      </c>
      <c r="D3" s="6" t="inlineStr">
        <is>
          <t>Multiplicador 1</t>
        </is>
      </c>
      <c r="E3" s="6" t="inlineStr">
        <is>
          <t>Acessório 2</t>
        </is>
      </c>
      <c r="F3" s="6" t="inlineStr">
        <is>
          <t>Multiplicador 2</t>
        </is>
      </c>
      <c r="G3" s="6" t="inlineStr">
        <is>
          <t>Acessório 3</t>
        </is>
      </c>
      <c r="H3" s="6" t="inlineStr">
        <is>
          <t>Multiplicador 3</t>
        </is>
      </c>
      <c r="I3" s="6" t="inlineStr">
        <is>
          <t>Acessório 4</t>
        </is>
      </c>
      <c r="J3" s="6" t="inlineStr">
        <is>
          <t>Multiplicador 4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6">
      <c r="A6" s="8" t="inlineStr">
        <is>
          <t>Entra proporcional ao metro — corrugado, clip, abraçadeira.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</cols>
  <sheetData>
    <row r="1">
      <c r="A1" s="11" t="inlineStr">
        <is>
          <t>Acessórios por item</t>
        </is>
      </c>
    </row>
    <row r="3">
      <c r="A3" s="6" t="inlineStr">
        <is>
          <t>Código principal</t>
        </is>
      </c>
      <c r="B3" s="6" t="inlineStr">
        <is>
          <t>Descrição</t>
        </is>
      </c>
      <c r="C3" s="6" t="inlineStr">
        <is>
          <t>Acessório 1</t>
        </is>
      </c>
      <c r="D3" s="6" t="inlineStr">
        <is>
          <t>Multiplicador 1</t>
        </is>
      </c>
      <c r="E3" s="6" t="inlineStr">
        <is>
          <t>Acessório 2</t>
        </is>
      </c>
      <c r="F3" s="6" t="inlineStr">
        <is>
          <t>Multiplicador 2</t>
        </is>
      </c>
      <c r="G3" s="6" t="inlineStr">
        <is>
          <t>Acessório 3</t>
        </is>
      </c>
      <c r="H3" s="6" t="inlineStr">
        <is>
          <t>Multiplicador 3</t>
        </is>
      </c>
      <c r="I3" s="6" t="inlineStr">
        <is>
          <t>Acessório 4</t>
        </is>
      </c>
      <c r="J3" s="6" t="inlineStr">
        <is>
          <t>Multiplicador 4</t>
        </is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6">
      <c r="A6" s="8" t="inlineStr">
        <is>
          <t>Entra por item instalado — flange, acabamento de eletrocalha.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10" customWidth="1" min="4" max="4"/>
  </cols>
  <sheetData>
    <row r="1">
      <c r="A1" s="11" t="inlineStr">
        <is>
          <t>Acessórios fixos por obra</t>
        </is>
      </c>
    </row>
    <row r="3">
      <c r="A3" s="6" t="inlineStr">
        <is>
          <t>Código</t>
        </is>
      </c>
      <c r="B3" s="6" t="inlineStr">
        <is>
          <t>Descrição</t>
        </is>
      </c>
      <c r="C3" s="6" t="inlineStr">
        <is>
          <t>Unidade</t>
        </is>
      </c>
      <c r="D3" s="6" t="inlineStr">
        <is>
          <t>Qtd</t>
        </is>
      </c>
    </row>
    <row r="4">
      <c r="A4" s="4" t="inlineStr"/>
      <c r="B4" s="7" t="inlineStr"/>
      <c r="C4" s="4" t="inlineStr"/>
      <c r="D4" s="4" t="inlineStr"/>
    </row>
    <row r="6">
      <c r="A6" s="8" t="inlineStr">
        <is>
          <t>Parafuso, arruela, bucha — quantidade fixa, não depende do tamanho da obra.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26" customWidth="1" min="4" max="4"/>
    <col width="26" customWidth="1" min="5" max="5"/>
  </cols>
  <sheetData>
    <row r="1">
      <c r="A1" s="11" t="inlineStr">
        <is>
          <t>Fornecedores</t>
        </is>
      </c>
    </row>
    <row r="3">
      <c r="A3" s="6" t="inlineStr">
        <is>
          <t>Código</t>
        </is>
      </c>
      <c r="B3" s="6" t="inlineStr">
        <is>
          <t>Descrição</t>
        </is>
      </c>
      <c r="C3" s="6" t="inlineStr">
        <is>
          <t>Fabricante</t>
        </is>
      </c>
      <c r="D3" s="6" t="inlineStr">
        <is>
          <t>Fornecedor</t>
        </is>
      </c>
      <c r="E3" s="6" t="inlineStr">
        <is>
          <t>Contato</t>
        </is>
      </c>
    </row>
    <row r="4">
      <c r="A4" s="4" t="inlineStr"/>
      <c r="B4" s="7" t="inlineStr"/>
      <c r="C4" s="7" t="inlineStr"/>
      <c r="D4" s="7" t="inlineStr"/>
      <c r="E4" s="7" t="inlineStr"/>
    </row>
    <row r="6">
      <c r="A6" s="8" t="inlineStr">
        <is>
          <t>Base própria, cresce a cada projeto.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2026-08-05T13:16:41Z</dcterms:created>
  <dcterms:modified xmlns:dcterms="http://purl.org/dc/terms/" xmlns:xsi="http://www.w3.org/2001/XMLSchema-instance" xsi:type="dcterms:W3CDTF">2026-08-05T13:16:41Z</dcterms:modified>
</cp:coreProperties>
</file>